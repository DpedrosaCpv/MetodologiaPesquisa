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drosa\Documents\GitHub\MetodologiaPesquisa\Material\"/>
    </mc:Choice>
  </mc:AlternateContent>
  <bookViews>
    <workbookView xWindow="0" yWindow="0" windowWidth="20490" windowHeight="7695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F4" i="2" s="1"/>
  <c r="G4" i="2" s="1"/>
  <c r="D4" i="2" l="1"/>
</calcChain>
</file>

<file path=xl/sharedStrings.xml><?xml version="1.0" encoding="utf-8"?>
<sst xmlns="http://schemas.openxmlformats.org/spreadsheetml/2006/main" count="26" uniqueCount="20">
  <si>
    <t>Tarifa Média com imposto</t>
  </si>
  <si>
    <t>Receita de Fornecimento de Energia Elétrica s/ imposto</t>
  </si>
  <si>
    <t>Receita de Fornecimento de Energia Elétrica c/ imposto</t>
  </si>
  <si>
    <t>Tarifa Média S/Imposto</t>
  </si>
  <si>
    <t>Numero de Unidades Consumidora</t>
  </si>
  <si>
    <t>Consumo (MWh)</t>
  </si>
  <si>
    <t>78,697621533,40</t>
  </si>
  <si>
    <t>Consumo de Energia Elétrica Segundo as Distribuidoras no Brasil (Comércios / Residências) em 2019</t>
  </si>
  <si>
    <t>Consumo de Energia Elétrica Segundo as Distribuidoras no Brasil (Empresas/Comércios / Residências) 2019</t>
  </si>
  <si>
    <t>Tarifa EDP Bandeirantes SP + Impostos</t>
  </si>
  <si>
    <t>Consumo Médio em resiências (KW/h)</t>
  </si>
  <si>
    <t>Total</t>
  </si>
  <si>
    <t>Qtde Unidades Consumidoras no Brasil (Comércio e Residência)</t>
  </si>
  <si>
    <t>Valor Total das Unidades Consumidoras no Brasil (Comércio e Residência) Utilizando Consumo médio</t>
  </si>
  <si>
    <t>Valor Potencial em 1 residência considerando consumo médio (3,5 % / Total)</t>
  </si>
  <si>
    <t>Valor Potencial considerando consumo médio  e unidades consumidoras do brasil entre comercio e residência(3,5 % / Total) em 1 ano</t>
  </si>
  <si>
    <t>Tabela utilizando o consumo médio calculado pela Procel/Eletrobras em residências no Brasil em 2005, levantamento efetuado pela ANEEL em 2019 quanto a quantidade de unidades consumidoras no Brasil identificadas como Residências e Comércios e a utilização da tarifa da distribuidora de energia EDP Bandeirante SP + impostos.</t>
  </si>
  <si>
    <t>Para uma residência</t>
  </si>
  <si>
    <t>Para todas residência e comercios do Brasil em 2019</t>
  </si>
  <si>
    <t>Valor potencial de trabalho para trabalhar com economia em iluminação em residência e comercio no Brasil /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</si>
</sst>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4" fontId="0" fillId="0" borderId="12" xfId="1" applyFont="1" applyBorder="1" applyAlignment="1">
      <alignment horizontal="center" vertical="center" wrapText="1"/>
    </xf>
    <xf numFmtId="44" fontId="0" fillId="0" borderId="12" xfId="0" applyNumberForma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4" fontId="0" fillId="0" borderId="18" xfId="0" applyNumberForma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44" fontId="3" fillId="0" borderId="2" xfId="0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tabSelected="1" workbookViewId="0">
      <selection activeCell="F12" sqref="F12"/>
    </sheetView>
  </sheetViews>
  <sheetFormatPr defaultRowHeight="15" x14ac:dyDescent="0.25"/>
  <cols>
    <col min="1" max="1" width="15.28515625" style="1" bestFit="1" customWidth="1"/>
    <col min="2" max="3" width="22.7109375" style="1" bestFit="1" customWidth="1"/>
    <col min="4" max="4" width="12.7109375" style="1" bestFit="1" customWidth="1"/>
    <col min="5" max="5" width="10.140625" style="1" bestFit="1" customWidth="1"/>
    <col min="6" max="6" width="21" style="1" bestFit="1" customWidth="1"/>
    <col min="7" max="7" width="19.5703125" bestFit="1" customWidth="1"/>
  </cols>
  <sheetData>
    <row r="2" spans="1:6" x14ac:dyDescent="0.25">
      <c r="A2" s="3" t="s">
        <v>8</v>
      </c>
      <c r="B2" s="3"/>
      <c r="C2" s="3"/>
      <c r="D2" s="3"/>
      <c r="E2" s="3"/>
      <c r="F2" s="3"/>
    </row>
    <row r="3" spans="1:6" ht="60" x14ac:dyDescent="0.25">
      <c r="A3" s="7" t="s">
        <v>5</v>
      </c>
      <c r="B3" s="7" t="s">
        <v>1</v>
      </c>
      <c r="C3" s="7" t="s">
        <v>2</v>
      </c>
      <c r="D3" s="7" t="s">
        <v>4</v>
      </c>
      <c r="E3" s="7" t="s">
        <v>3</v>
      </c>
      <c r="F3" s="7" t="s">
        <v>0</v>
      </c>
    </row>
    <row r="4" spans="1:6" x14ac:dyDescent="0.25">
      <c r="A4" s="5">
        <v>316482891.52999997</v>
      </c>
      <c r="B4" s="6">
        <v>161871624236.64001</v>
      </c>
      <c r="C4" s="6">
        <v>223412317943.22</v>
      </c>
      <c r="D4" s="4">
        <v>1012992420</v>
      </c>
      <c r="E4" s="6">
        <v>511.47</v>
      </c>
      <c r="F4" s="6">
        <v>705.92</v>
      </c>
    </row>
    <row r="5" spans="1:6" x14ac:dyDescent="0.25">
      <c r="E5" s="2"/>
      <c r="F5" s="2"/>
    </row>
    <row r="6" spans="1:6" x14ac:dyDescent="0.25">
      <c r="A6" s="3" t="s">
        <v>7</v>
      </c>
      <c r="B6" s="3"/>
      <c r="C6" s="3"/>
      <c r="D6" s="3"/>
      <c r="E6" s="3"/>
      <c r="F6" s="3"/>
    </row>
    <row r="7" spans="1:6" ht="60" x14ac:dyDescent="0.25">
      <c r="A7" s="7" t="s">
        <v>5</v>
      </c>
      <c r="B7" s="7" t="s">
        <v>1</v>
      </c>
      <c r="C7" s="7" t="s">
        <v>2</v>
      </c>
      <c r="D7" s="7" t="s">
        <v>4</v>
      </c>
      <c r="E7" s="7" t="s">
        <v>3</v>
      </c>
      <c r="F7" s="7" t="s">
        <v>0</v>
      </c>
    </row>
    <row r="8" spans="1:6" x14ac:dyDescent="0.25">
      <c r="A8" s="5">
        <v>142743093.78</v>
      </c>
      <c r="B8" s="6" t="s">
        <v>6</v>
      </c>
      <c r="C8" s="6">
        <v>110389322917.53</v>
      </c>
      <c r="D8" s="4">
        <v>870171005</v>
      </c>
      <c r="E8" s="6">
        <v>551.32000000000005</v>
      </c>
      <c r="F8" s="6">
        <v>773.34</v>
      </c>
    </row>
  </sheetData>
  <mergeCells count="2">
    <mergeCell ref="A2:F2"/>
    <mergeCell ref="A6:F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Normal="100" workbookViewId="0">
      <selection activeCell="A6" sqref="A6:G9"/>
    </sheetView>
  </sheetViews>
  <sheetFormatPr defaultRowHeight="15" x14ac:dyDescent="0.25"/>
  <cols>
    <col min="1" max="2" width="14.140625" customWidth="1"/>
    <col min="3" max="3" width="10" bestFit="1" customWidth="1"/>
    <col min="4" max="4" width="17.7109375" customWidth="1"/>
    <col min="5" max="5" width="17.42578125" customWidth="1"/>
    <col min="6" max="6" width="21" bestFit="1" customWidth="1"/>
    <col min="7" max="7" width="24.5703125" customWidth="1"/>
  </cols>
  <sheetData>
    <row r="1" spans="1:7" ht="15.75" thickBot="1" x14ac:dyDescent="0.3">
      <c r="A1" s="21" t="s">
        <v>19</v>
      </c>
      <c r="B1" s="22"/>
      <c r="C1" s="22"/>
      <c r="D1" s="22"/>
      <c r="E1" s="22"/>
      <c r="F1" s="22"/>
      <c r="G1" s="23"/>
    </row>
    <row r="2" spans="1:7" ht="15.75" thickBot="1" x14ac:dyDescent="0.3">
      <c r="A2" s="21" t="s">
        <v>17</v>
      </c>
      <c r="B2" s="22"/>
      <c r="C2" s="22"/>
      <c r="D2" s="23"/>
      <c r="E2" s="21" t="s">
        <v>18</v>
      </c>
      <c r="F2" s="22"/>
      <c r="G2" s="23"/>
    </row>
    <row r="3" spans="1:7" ht="105.75" thickBot="1" x14ac:dyDescent="0.3">
      <c r="A3" s="24" t="s">
        <v>10</v>
      </c>
      <c r="B3" s="25" t="s">
        <v>9</v>
      </c>
      <c r="C3" s="25" t="s">
        <v>11</v>
      </c>
      <c r="D3" s="25" t="s">
        <v>14</v>
      </c>
      <c r="E3" s="25" t="s">
        <v>12</v>
      </c>
      <c r="F3" s="25" t="s">
        <v>13</v>
      </c>
      <c r="G3" s="27" t="s">
        <v>15</v>
      </c>
    </row>
    <row r="4" spans="1:7" ht="15.75" thickBot="1" x14ac:dyDescent="0.3">
      <c r="A4" s="17">
        <v>152.19999999999999</v>
      </c>
      <c r="B4" s="18">
        <v>0.76494047600000004</v>
      </c>
      <c r="C4" s="19">
        <f>A4*B4</f>
        <v>116.4239404472</v>
      </c>
      <c r="D4" s="20">
        <f>C4*0.035</f>
        <v>4.074837915652</v>
      </c>
      <c r="E4" s="18">
        <v>870171005</v>
      </c>
      <c r="F4" s="26">
        <f>E4*C4</f>
        <v>101308737265.00017</v>
      </c>
      <c r="G4" s="28">
        <f>F4*0.035</f>
        <v>3545805804.2750063</v>
      </c>
    </row>
    <row r="5" spans="1:7" ht="15.75" thickBot="1" x14ac:dyDescent="0.3"/>
    <row r="6" spans="1:7" x14ac:dyDescent="0.25">
      <c r="A6" s="8" t="s">
        <v>16</v>
      </c>
      <c r="B6" s="9"/>
      <c r="C6" s="9"/>
      <c r="D6" s="9"/>
      <c r="E6" s="9"/>
      <c r="F6" s="9"/>
      <c r="G6" s="10"/>
    </row>
    <row r="7" spans="1:7" x14ac:dyDescent="0.25">
      <c r="A7" s="11"/>
      <c r="B7" s="12"/>
      <c r="C7" s="12"/>
      <c r="D7" s="12"/>
      <c r="E7" s="12"/>
      <c r="F7" s="12"/>
      <c r="G7" s="13"/>
    </row>
    <row r="8" spans="1:7" x14ac:dyDescent="0.25">
      <c r="A8" s="11"/>
      <c r="B8" s="12"/>
      <c r="C8" s="12"/>
      <c r="D8" s="12"/>
      <c r="E8" s="12"/>
      <c r="F8" s="12"/>
      <c r="G8" s="13"/>
    </row>
    <row r="9" spans="1:7" ht="15.75" thickBot="1" x14ac:dyDescent="0.3">
      <c r="A9" s="14"/>
      <c r="B9" s="15"/>
      <c r="C9" s="15"/>
      <c r="D9" s="15"/>
      <c r="E9" s="15"/>
      <c r="F9" s="15"/>
      <c r="G9" s="16"/>
    </row>
  </sheetData>
  <mergeCells count="4">
    <mergeCell ref="A6:G9"/>
    <mergeCell ref="A2:D2"/>
    <mergeCell ref="E2:G2"/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pedrosa</dc:creator>
  <cp:lastModifiedBy>pedrosa</cp:lastModifiedBy>
  <dcterms:created xsi:type="dcterms:W3CDTF">2020-12-03T01:17:33Z</dcterms:created>
  <dcterms:modified xsi:type="dcterms:W3CDTF">2020-12-04T02:40:59Z</dcterms:modified>
</cp:coreProperties>
</file>